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2188" windowHeight="8675" firstSheet="1" activeTab="1"/>
  </bookViews>
  <sheets>
    <sheet name="Info" sheetId="2" r:id="rId1"/>
    <sheet name="Risk analysis" sheetId="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<sst xmlns="http://schemas.openxmlformats.org/spreadsheetml/2006/main" count="198" uniqueCount="133">
  <si>
    <t>User Info</t>
  </si>
  <si>
    <t xml:space="preserve">1) Data entry &gt;&gt; Complete all yellow cells </t>
  </si>
  <si>
    <t xml:space="preserve">&gt; The first field should contain the name of your project.
&gt; Choose the best value for the column using the drop-down list. 
&gt; The last yellow field can be used for providing a conclusion. </t>
  </si>
  <si>
    <t>2) PRINT</t>
  </si>
  <si>
    <t>&gt; The data will be printed on 2 pages.
&gt; The print date is set to "today". 
&gt; Be kind to the environment and don't waste paper!</t>
  </si>
  <si>
    <t>3) SECURITY</t>
  </si>
  <si>
    <r>
      <rPr>
        <sz val="10"/>
        <rFont val="Arial"/>
        <charset val="134"/>
      </rPr>
      <t xml:space="preserve">&gt; The non-yellow cells are protected by a password. Use the Tab key to navigate through these cells.
&gt; The password is: </t>
    </r>
    <r>
      <rPr>
        <b/>
        <sz val="10"/>
        <rFont val="Arial"/>
        <charset val="134"/>
      </rPr>
      <t>analysis</t>
    </r>
  </si>
  <si>
    <t>This Excel sheet was developed by Jurgen Winkel</t>
  </si>
  <si>
    <r>
      <rPr>
        <sz val="8"/>
        <rFont val="Arial"/>
        <charset val="134"/>
      </rPr>
      <t xml:space="preserve">This model is derived from a method described in </t>
    </r>
    <r>
      <rPr>
        <i/>
        <sz val="8"/>
        <rFont val="Arial"/>
        <charset val="134"/>
      </rPr>
      <t>Handboek informatieplanning,</t>
    </r>
    <r>
      <rPr>
        <sz val="8"/>
        <rFont val="Arial"/>
        <charset val="134"/>
      </rPr>
      <t xml:space="preserve"> Directie Economisch Beheer, ´s-Gravenhage, 1989 and accompanies the book </t>
    </r>
    <r>
      <rPr>
        <i/>
        <sz val="8"/>
        <rFont val="Arial"/>
        <charset val="134"/>
      </rPr>
      <t>Project Management</t>
    </r>
    <r>
      <rPr>
        <sz val="8"/>
        <rFont val="Arial"/>
        <charset val="134"/>
      </rPr>
      <t xml:space="preserve"> by Roel Grit (5th edition ISBN 978 90 01 60506 3).</t>
    </r>
  </si>
  <si>
    <t>Risk Analysis</t>
  </si>
  <si>
    <t>Print date</t>
  </si>
  <si>
    <t>MQTT Broker Architecture Research</t>
  </si>
  <si>
    <t>Risk</t>
  </si>
  <si>
    <t>Value *</t>
  </si>
  <si>
    <t>Factor **</t>
  </si>
  <si>
    <t>Weight ***</t>
  </si>
  <si>
    <t>Total risk</t>
  </si>
  <si>
    <t>Time factor</t>
  </si>
  <si>
    <r>
      <rPr>
        <sz val="8"/>
        <color indexed="23"/>
        <rFont val="Wingdings 3"/>
        <charset val="2"/>
      </rPr>
      <t>i</t>
    </r>
    <r>
      <rPr>
        <sz val="8"/>
        <color indexed="23"/>
        <rFont val="Arial"/>
        <charset val="134"/>
      </rPr>
      <t>choose one</t>
    </r>
    <r>
      <rPr>
        <sz val="8"/>
        <color indexed="23"/>
        <rFont val="Wingdings 3"/>
        <charset val="2"/>
      </rPr>
      <t>i</t>
    </r>
  </si>
  <si>
    <t>Estimated duration of project</t>
  </si>
  <si>
    <t>3 - 6 months</t>
  </si>
  <si>
    <t>0 - 3 months</t>
  </si>
  <si>
    <t>No</t>
  </si>
  <si>
    <t>More than enough</t>
  </si>
  <si>
    <t>Minor adaptations</t>
  </si>
  <si>
    <t>Not</t>
  </si>
  <si>
    <t>Enthousiastic</t>
  </si>
  <si>
    <t>Mainly internally</t>
  </si>
  <si>
    <t>1 location</t>
  </si>
  <si>
    <t>1-5</t>
  </si>
  <si>
    <t>Good</t>
  </si>
  <si>
    <t>to a large extend</t>
  </si>
  <si>
    <t>a lot</t>
  </si>
  <si>
    <t>very</t>
  </si>
  <si>
    <t>little chance</t>
  </si>
  <si>
    <t>only existing methods</t>
  </si>
  <si>
    <t>yes, everybody</t>
  </si>
  <si>
    <t>yes</t>
  </si>
  <si>
    <t>considerable</t>
  </si>
  <si>
    <t>Does the project have a definite deadline?</t>
  </si>
  <si>
    <t>Yes</t>
  </si>
  <si>
    <t>enough</t>
  </si>
  <si>
    <t>2-3</t>
  </si>
  <si>
    <t>Major adaptations</t>
  </si>
  <si>
    <t>Minor extend</t>
  </si>
  <si>
    <t>Yes, time enough</t>
  </si>
  <si>
    <t>Non commital</t>
  </si>
  <si>
    <t>A little</t>
  </si>
  <si>
    <t>Partly internally</t>
  </si>
  <si>
    <t xml:space="preserve"> 1-3 locations</t>
  </si>
  <si>
    <t>5-10</t>
  </si>
  <si>
    <t>Avarage</t>
  </si>
  <si>
    <t>to a reasonable extend</t>
  </si>
  <si>
    <t>a reasonable amount</t>
  </si>
  <si>
    <t>reasonably involved</t>
  </si>
  <si>
    <t>some chance</t>
  </si>
  <si>
    <t>some existing methods</t>
  </si>
  <si>
    <t>most of them</t>
  </si>
  <si>
    <t>reasonably</t>
  </si>
  <si>
    <t>reasonable</t>
  </si>
  <si>
    <t>in general</t>
  </si>
  <si>
    <t>moderately</t>
  </si>
  <si>
    <t>Is there enough time to complete the project within the time permitted?</t>
  </si>
  <si>
    <t>6+ months</t>
  </si>
  <si>
    <t>Flexible</t>
  </si>
  <si>
    <t>Not enough</t>
  </si>
  <si>
    <t>3+</t>
  </si>
  <si>
    <t>New project</t>
  </si>
  <si>
    <t>Medium extend</t>
  </si>
  <si>
    <t>Yes, not much time</t>
  </si>
  <si>
    <t>Not interested</t>
  </si>
  <si>
    <t>Strongly</t>
  </si>
  <si>
    <t>Mainly externally</t>
  </si>
  <si>
    <t>more than 3</t>
  </si>
  <si>
    <t>10+</t>
  </si>
  <si>
    <t>Unfavorable</t>
  </si>
  <si>
    <t>to a limited extend</t>
  </si>
  <si>
    <t>little</t>
  </si>
  <si>
    <t>big chance</t>
  </si>
  <si>
    <t>no existing methods</t>
  </si>
  <si>
    <t>not all of them</t>
  </si>
  <si>
    <t>not clearly</t>
  </si>
  <si>
    <t>insufficient</t>
  </si>
  <si>
    <t>most of them are not</t>
  </si>
  <si>
    <t>no</t>
  </si>
  <si>
    <t>Complexity of  project</t>
  </si>
  <si>
    <t>Major extend</t>
  </si>
  <si>
    <t>Number of functional subsectors involved</t>
  </si>
  <si>
    <t>Number of functional subsectors that will make use of the results of the project</t>
  </si>
  <si>
    <t>Is is a new project or one that will be adapted?</t>
  </si>
  <si>
    <t>To what extend do current authorizations in the organization have to be adjusted?</t>
  </si>
  <si>
    <t>Are other projects dependent on this project?</t>
  </si>
  <si>
    <t>How are users (of the project results) likely to respond to it?</t>
  </si>
  <si>
    <t>Is the project broken down into phases and does the project depend on coordination between them?</t>
  </si>
  <si>
    <t>The project group</t>
  </si>
  <si>
    <t>Where do the project workers come from?</t>
  </si>
  <si>
    <t>Where is the project located?</t>
  </si>
  <si>
    <t>How many project members work for more than 80% at peak hours?</t>
  </si>
  <si>
    <t>Balance between subject experts and project experts</t>
  </si>
  <si>
    <t>Are users involved in the project?</t>
  </si>
  <si>
    <t>Project management</t>
  </si>
  <si>
    <t>Does the project management team have any knowledge of the subject?</t>
  </si>
  <si>
    <t>Does the project management have any knowledge of how to plan a project?</t>
  </si>
  <si>
    <t>How much experience does the project manager have with a project like this?</t>
  </si>
  <si>
    <t>Does the adviser have much knowledge of the field of the project?</t>
  </si>
  <si>
    <t>Do the subject experts have much knowledge of the field?</t>
  </si>
  <si>
    <t>How involved are responsible managers in the project?</t>
  </si>
  <si>
    <t>Is there any chance that the project team will change during the project?</t>
  </si>
  <si>
    <t>Is the project team using existing methods or are they creating their own tools?</t>
  </si>
  <si>
    <t>Risk analysis continued ….</t>
  </si>
  <si>
    <t>Weight **</t>
  </si>
  <si>
    <t>Project definition</t>
  </si>
  <si>
    <r>
      <rPr>
        <sz val="8"/>
        <color indexed="23"/>
        <rFont val="Wingdings 3"/>
        <charset val="2"/>
      </rPr>
      <t>i</t>
    </r>
    <r>
      <rPr>
        <sz val="8"/>
        <color indexed="23"/>
        <rFont val="Arial"/>
        <charset val="134"/>
      </rPr>
      <t>maak keuze</t>
    </r>
    <r>
      <rPr>
        <sz val="8"/>
        <color indexed="23"/>
        <rFont val="Wingdings 3"/>
        <charset val="2"/>
      </rPr>
      <t>i</t>
    </r>
  </si>
  <si>
    <t>Are project members sufficiently aware of problems and objectives?</t>
  </si>
  <si>
    <t>Is the field of result (scope) sufficiently defined?</t>
  </si>
  <si>
    <t>Is there enough distinction between this project and other projects?</t>
  </si>
  <si>
    <t xml:space="preserve">Has enough time been resereved for coordination and decision-making? </t>
  </si>
  <si>
    <t>Are the boundaries and preconditions clear?</t>
  </si>
  <si>
    <t>Are the boundaries limiting enough?</t>
  </si>
  <si>
    <t>Total</t>
  </si>
  <si>
    <t>Risk percentage ***</t>
  </si>
  <si>
    <t>* Value chosen by Vladislav Serafimov (Researcher)</t>
  </si>
  <si>
    <t>** Defined factor in this model.</t>
  </si>
  <si>
    <t>*** Risk percentage is total score divided by 433 (maximal score) times 100.</t>
  </si>
  <si>
    <t>The risk percentage provides an overview.</t>
  </si>
  <si>
    <t>If the percentage is higher than 50%, the project should not carried out in this form.</t>
  </si>
  <si>
    <t>The next table shows the risk percentage per catagory.</t>
  </si>
  <si>
    <r>
      <rPr>
        <b/>
        <sz val="8"/>
        <rFont val="Arial"/>
        <charset val="134"/>
      </rPr>
      <t>Category</t>
    </r>
    <r>
      <rPr>
        <sz val="8"/>
        <rFont val="Arial"/>
        <charset val="134"/>
      </rPr>
      <t xml:space="preserve"> (maximum score versus calculated score)</t>
    </r>
  </si>
  <si>
    <t>Maximal</t>
  </si>
  <si>
    <t>Score</t>
  </si>
  <si>
    <t xml:space="preserve">Complexity </t>
  </si>
  <si>
    <t>Researcher Ability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</si>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</sst>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8">
    <font>
      <sz val="10"/>
      <name val="Arial"/>
      <charset val="134"/>
    </font>
    <font>
      <sz val="8"/>
      <name val="Arial"/>
      <charset val="134"/>
    </font>
    <font>
      <b/>
      <sz val="12"/>
      <name val="Arial"/>
      <charset val="134"/>
    </font>
    <font>
      <b/>
      <sz val="8"/>
      <name val="Arial"/>
      <charset val="134"/>
    </font>
    <font>
      <b/>
      <sz val="10"/>
      <name val="Arial"/>
      <charset val="134"/>
    </font>
    <font>
      <i/>
      <sz val="8"/>
      <name val="Arial"/>
      <charset val="134"/>
    </font>
    <font>
      <sz val="8"/>
      <color indexed="23"/>
      <name val="Wingdings 3"/>
      <charset val="2"/>
    </font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  <font>
      <sz val="8"/>
      <color indexed="23"/>
      <name val="Arial"/>
      <charset val="134"/>
    </font>
  </fonts>
  <fills count="36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176" fontId="7" fillId="0" borderId="0" applyFont="0" applyFill="0" applyBorder="0" applyAlignment="0" applyProtection="0">
      <alignment vertical="center"/>
    </xf>
    <xf numFmtId="44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42" fontId="7" fillId="0" borderId="0" applyFon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7" fillId="5" borderId="20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21" applyNumberFormat="0" applyFill="0" applyAlignment="0" applyProtection="0">
      <alignment vertical="center"/>
    </xf>
    <xf numFmtId="0" fontId="14" fillId="0" borderId="21" applyNumberFormat="0" applyFill="0" applyAlignment="0" applyProtection="0">
      <alignment vertical="center"/>
    </xf>
    <xf numFmtId="0" fontId="15" fillId="0" borderId="22" applyNumberFormat="0" applyFill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6" borderId="23" applyNumberFormat="0" applyAlignment="0" applyProtection="0">
      <alignment vertical="center"/>
    </xf>
    <xf numFmtId="0" fontId="17" fillId="7" borderId="24" applyNumberFormat="0" applyAlignment="0" applyProtection="0">
      <alignment vertical="center"/>
    </xf>
    <xf numFmtId="0" fontId="18" fillId="7" borderId="23" applyNumberFormat="0" applyAlignment="0" applyProtection="0">
      <alignment vertical="center"/>
    </xf>
    <xf numFmtId="0" fontId="19" fillId="8" borderId="25" applyNumberFormat="0" applyAlignment="0" applyProtection="0">
      <alignment vertical="center"/>
    </xf>
    <xf numFmtId="0" fontId="20" fillId="0" borderId="26" applyNumberFormat="0" applyFill="0" applyAlignment="0" applyProtection="0">
      <alignment vertical="center"/>
    </xf>
    <xf numFmtId="0" fontId="21" fillId="0" borderId="27" applyNumberFormat="0" applyFill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5" fillId="12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4" borderId="0" applyNumberFormat="0" applyBorder="0" applyAlignment="0" applyProtection="0">
      <alignment vertical="center"/>
    </xf>
    <xf numFmtId="0" fontId="25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5" fillId="19" borderId="0" applyNumberFormat="0" applyBorder="0" applyAlignment="0" applyProtection="0">
      <alignment vertical="center"/>
    </xf>
    <xf numFmtId="0" fontId="25" fillId="20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5" fillId="23" borderId="0" applyNumberFormat="0" applyBorder="0" applyAlignment="0" applyProtection="0">
      <alignment vertical="center"/>
    </xf>
    <xf numFmtId="0" fontId="25" fillId="24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26" fillId="26" borderId="0" applyNumberFormat="0" applyBorder="0" applyAlignment="0" applyProtection="0">
      <alignment vertical="center"/>
    </xf>
    <xf numFmtId="0" fontId="25" fillId="27" borderId="0" applyNumberFormat="0" applyBorder="0" applyAlignment="0" applyProtection="0">
      <alignment vertical="center"/>
    </xf>
    <xf numFmtId="0" fontId="25" fillId="28" borderId="0" applyNumberFormat="0" applyBorder="0" applyAlignment="0" applyProtection="0">
      <alignment vertical="center"/>
    </xf>
    <xf numFmtId="0" fontId="26" fillId="29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0" fontId="25" fillId="31" borderId="0" applyNumberFormat="0" applyBorder="0" applyAlignment="0" applyProtection="0">
      <alignment vertical="center"/>
    </xf>
    <xf numFmtId="0" fontId="25" fillId="32" borderId="0" applyNumberFormat="0" applyBorder="0" applyAlignment="0" applyProtection="0">
      <alignment vertical="center"/>
    </xf>
    <xf numFmtId="0" fontId="26" fillId="33" borderId="0" applyNumberFormat="0" applyBorder="0" applyAlignment="0" applyProtection="0">
      <alignment vertical="center"/>
    </xf>
    <xf numFmtId="0" fontId="26" fillId="34" borderId="0" applyNumberFormat="0" applyBorder="0" applyAlignment="0" applyProtection="0">
      <alignment vertical="center"/>
    </xf>
    <xf numFmtId="0" fontId="25" fillId="35" borderId="0" applyNumberFormat="0" applyBorder="0" applyAlignment="0" applyProtection="0">
      <alignment vertical="center"/>
    </xf>
  </cellStyleXfs>
  <cellXfs count="70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0" fontId="2" fillId="0" borderId="1" xfId="0" applyFont="1" applyBorder="1" applyAlignment="1">
      <alignment horizontal="left"/>
    </xf>
    <xf numFmtId="0" fontId="3" fillId="0" borderId="1" xfId="0" applyFont="1" applyBorder="1" applyAlignment="1">
      <alignment horizontal="right"/>
    </xf>
    <xf numFmtId="0" fontId="4" fillId="2" borderId="2" xfId="0" applyFont="1" applyFill="1" applyBorder="1" applyAlignment="1" applyProtection="1">
      <alignment horizontal="justify" vertical="top"/>
      <protection locked="0"/>
    </xf>
    <xf numFmtId="58" fontId="5" fillId="3" borderId="1" xfId="0" applyNumberFormat="1" applyFont="1" applyFill="1" applyBorder="1" applyAlignment="1">
      <alignment horizontal="right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3" fillId="0" borderId="6" xfId="0" applyFont="1" applyBorder="1"/>
    <xf numFmtId="0" fontId="1" fillId="0" borderId="7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1" xfId="0" applyFont="1" applyBorder="1" applyAlignment="1">
      <alignment horizontal="left" vertical="top"/>
    </xf>
    <xf numFmtId="0" fontId="1" fillId="0" borderId="2" xfId="0" applyFont="1" applyBorder="1" applyAlignment="1">
      <alignment vertical="top"/>
    </xf>
    <xf numFmtId="0" fontId="1" fillId="2" borderId="2" xfId="0" applyFont="1" applyFill="1" applyBorder="1" applyAlignment="1" applyProtection="1">
      <alignment horizontal="left" vertical="top"/>
      <protection locked="0"/>
    </xf>
    <xf numFmtId="0" fontId="1" fillId="0" borderId="2" xfId="0" applyFont="1" applyBorder="1" applyAlignment="1">
      <alignment horizontal="justify" vertical="top"/>
    </xf>
    <xf numFmtId="0" fontId="1" fillId="0" borderId="1" xfId="0" applyFont="1" applyBorder="1" applyAlignment="1">
      <alignment vertical="top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0" borderId="1" xfId="0" applyFont="1" applyBorder="1" applyAlignment="1">
      <alignment horizontal="justify" vertical="top"/>
    </xf>
    <xf numFmtId="49" fontId="1" fillId="0" borderId="1" xfId="0" applyNumberFormat="1" applyFont="1" applyBorder="1" applyAlignment="1">
      <alignment horizontal="justify"/>
    </xf>
    <xf numFmtId="0" fontId="1" fillId="2" borderId="5" xfId="0" applyFont="1" applyFill="1" applyBorder="1" applyAlignment="1" applyProtection="1">
      <alignment horizontal="left" vertical="top"/>
      <protection locked="0"/>
    </xf>
    <xf numFmtId="0" fontId="1" fillId="0" borderId="5" xfId="0" applyFont="1" applyBorder="1" applyAlignment="1">
      <alignment horizontal="justify" vertical="top"/>
    </xf>
    <xf numFmtId="0" fontId="3" fillId="0" borderId="6" xfId="0" applyFont="1" applyBorder="1" applyAlignment="1">
      <alignment horizontal="left"/>
    </xf>
    <xf numFmtId="0" fontId="1" fillId="0" borderId="7" xfId="0" applyFont="1" applyBorder="1"/>
    <xf numFmtId="0" fontId="1" fillId="0" borderId="8" xfId="0" applyFont="1" applyBorder="1" applyAlignment="1">
      <alignment horizontal="justify" vertical="top"/>
    </xf>
    <xf numFmtId="0" fontId="1" fillId="2" borderId="2" xfId="0" applyFont="1" applyFill="1" applyBorder="1" applyAlignment="1" applyProtection="1">
      <alignment horizontal="justify" vertical="top"/>
      <protection locked="0"/>
    </xf>
    <xf numFmtId="1" fontId="1" fillId="2" borderId="1" xfId="0" applyNumberFormat="1" applyFont="1" applyFill="1" applyBorder="1" applyAlignment="1" applyProtection="1">
      <alignment horizontal="justify" vertical="top"/>
      <protection locked="0"/>
    </xf>
    <xf numFmtId="0" fontId="1" fillId="2" borderId="1" xfId="0" applyFont="1" applyFill="1" applyBorder="1" applyAlignment="1" applyProtection="1">
      <alignment horizontal="justify" vertical="top"/>
      <protection locked="0"/>
    </xf>
    <xf numFmtId="49" fontId="1" fillId="0" borderId="1" xfId="0" applyNumberFormat="1" applyFont="1" applyBorder="1" applyAlignment="1">
      <alignment horizontal="justify" vertical="top"/>
    </xf>
    <xf numFmtId="49" fontId="1" fillId="0" borderId="5" xfId="0" applyNumberFormat="1" applyFont="1" applyBorder="1" applyAlignment="1">
      <alignment horizontal="justify"/>
    </xf>
    <xf numFmtId="0" fontId="1" fillId="2" borderId="5" xfId="0" applyFont="1" applyFill="1" applyBorder="1" applyAlignment="1" applyProtection="1">
      <alignment horizontal="justify" vertical="top"/>
      <protection locked="0"/>
    </xf>
    <xf numFmtId="0" fontId="1" fillId="0" borderId="7" xfId="0" applyFont="1" applyBorder="1" applyAlignment="1">
      <alignment horizontal="justify" vertical="top"/>
    </xf>
    <xf numFmtId="0" fontId="1" fillId="0" borderId="9" xfId="0" applyFont="1" applyBorder="1" applyAlignment="1">
      <alignment horizontal="justify" vertical="top"/>
    </xf>
    <xf numFmtId="0" fontId="1" fillId="0" borderId="0" xfId="0" applyFont="1" applyAlignment="1">
      <alignment horizontal="justify" vertical="top"/>
    </xf>
    <xf numFmtId="0" fontId="5" fillId="0" borderId="0" xfId="0" applyFont="1" applyAlignment="1">
      <alignment vertical="top"/>
    </xf>
    <xf numFmtId="0" fontId="1" fillId="0" borderId="10" xfId="0" applyFont="1" applyBorder="1" applyAlignment="1">
      <alignment horizontal="justify" vertical="top"/>
    </xf>
    <xf numFmtId="0" fontId="1" fillId="0" borderId="1" xfId="0" applyFont="1" applyBorder="1" applyAlignment="1">
      <alignment horizontal="center"/>
    </xf>
    <xf numFmtId="0" fontId="3" fillId="0" borderId="0" xfId="0" applyFont="1"/>
    <xf numFmtId="0" fontId="3" fillId="0" borderId="6" xfId="0" applyFont="1" applyBorder="1" applyAlignment="1">
      <alignment horizontal="justify" vertical="top"/>
    </xf>
    <xf numFmtId="0" fontId="1" fillId="0" borderId="8" xfId="0" applyFont="1" applyBorder="1"/>
    <xf numFmtId="0" fontId="3" fillId="0" borderId="1" xfId="0" applyFont="1" applyBorder="1" applyAlignment="1">
      <alignment horizontal="justify" vertical="top"/>
    </xf>
    <xf numFmtId="0" fontId="3" fillId="0" borderId="8" xfId="0" applyFont="1" applyBorder="1"/>
    <xf numFmtId="10" fontId="3" fillId="0" borderId="1" xfId="0" applyNumberFormat="1" applyFont="1" applyBorder="1" applyAlignment="1">
      <alignment horizontal="left" vertical="top"/>
    </xf>
    <xf numFmtId="0" fontId="5" fillId="0" borderId="0" xfId="0" applyFont="1"/>
    <xf numFmtId="0" fontId="1" fillId="0" borderId="0" xfId="0" applyFont="1" applyAlignment="1">
      <alignment horizontal="left"/>
    </xf>
    <xf numFmtId="0" fontId="3" fillId="0" borderId="3" xfId="0" applyFont="1" applyBorder="1"/>
    <xf numFmtId="0" fontId="1" fillId="0" borderId="11" xfId="0" applyFont="1" applyBorder="1"/>
    <xf numFmtId="0" fontId="1" fillId="0" borderId="6" xfId="0" applyFont="1" applyBorder="1"/>
    <xf numFmtId="0" fontId="1" fillId="0" borderId="1" xfId="0" applyFont="1" applyBorder="1"/>
    <xf numFmtId="0" fontId="1" fillId="0" borderId="2" xfId="0" applyFont="1" applyBorder="1" applyAlignment="1">
      <alignment horizontal="left"/>
    </xf>
    <xf numFmtId="0" fontId="1" fillId="0" borderId="2" xfId="0" applyFont="1" applyBorder="1"/>
    <xf numFmtId="16" fontId="1" fillId="0" borderId="0" xfId="0" applyNumberFormat="1" applyFont="1"/>
    <xf numFmtId="0" fontId="3" fillId="2" borderId="12" xfId="0" applyFont="1" applyFill="1" applyBorder="1" applyAlignment="1" applyProtection="1">
      <alignment vertical="top" wrapText="1"/>
      <protection locked="0"/>
    </xf>
    <xf numFmtId="0" fontId="1" fillId="2" borderId="13" xfId="0" applyFont="1" applyFill="1" applyBorder="1" applyAlignment="1" applyProtection="1">
      <alignment vertical="top" wrapText="1"/>
      <protection locked="0"/>
    </xf>
    <xf numFmtId="0" fontId="1" fillId="2" borderId="14" xfId="0" applyFont="1" applyFill="1" applyBorder="1" applyAlignment="1" applyProtection="1">
      <alignment vertical="top" wrapText="1"/>
      <protection locked="0"/>
    </xf>
    <xf numFmtId="0" fontId="1" fillId="2" borderId="15" xfId="0" applyFont="1" applyFill="1" applyBorder="1" applyAlignment="1" applyProtection="1">
      <alignment vertical="top" wrapText="1"/>
      <protection locked="0"/>
    </xf>
    <xf numFmtId="0" fontId="1" fillId="2" borderId="0" xfId="0" applyFont="1" applyFill="1" applyAlignment="1" applyProtection="1">
      <alignment vertical="top" wrapText="1"/>
      <protection locked="0"/>
    </xf>
    <xf numFmtId="0" fontId="1" fillId="2" borderId="16" xfId="0" applyFont="1" applyFill="1" applyBorder="1" applyAlignment="1" applyProtection="1">
      <alignment vertical="top" wrapText="1"/>
      <protection locked="0"/>
    </xf>
    <xf numFmtId="0" fontId="1" fillId="2" borderId="17" xfId="0" applyFont="1" applyFill="1" applyBorder="1" applyAlignment="1" applyProtection="1">
      <alignment vertical="top" wrapText="1"/>
      <protection locked="0"/>
    </xf>
    <xf numFmtId="0" fontId="1" fillId="2" borderId="18" xfId="0" applyFont="1" applyFill="1" applyBorder="1" applyAlignment="1" applyProtection="1">
      <alignment vertical="top" wrapText="1"/>
      <protection locked="0"/>
    </xf>
    <xf numFmtId="0" fontId="1" fillId="2" borderId="19" xfId="0" applyFont="1" applyFill="1" applyBorder="1" applyAlignment="1" applyProtection="1">
      <alignment vertical="top" wrapText="1"/>
      <protection locked="0"/>
    </xf>
    <xf numFmtId="0" fontId="5" fillId="0" borderId="0" xfId="0" applyFont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0" fillId="3" borderId="1" xfId="0" applyFill="1" applyBorder="1" applyAlignment="1">
      <alignment wrapText="1"/>
    </xf>
    <xf numFmtId="0" fontId="0" fillId="2" borderId="1" xfId="0" applyFill="1" applyBorder="1" applyAlignment="1">
      <alignment wrapText="1"/>
    </xf>
    <xf numFmtId="0" fontId="0" fillId="3" borderId="1" xfId="0" applyFill="1" applyBorder="1"/>
    <xf numFmtId="0" fontId="0" fillId="0" borderId="0" xfId="0" applyFont="1"/>
    <xf numFmtId="0" fontId="1" fillId="0" borderId="0" xfId="0" applyFont="1" applyAlignment="1">
      <alignment vertical="top" wrapText="1"/>
    </xf>
    <xf numFmtId="0" fontId="1" fillId="0" borderId="0" xfId="0" applyFont="1" quotePrefix="1"/>
    <xf numFmtId="16" fontId="1" fillId="0" borderId="0" xfId="0" applyNumberFormat="1" applyFont="1" quotePrefix="1"/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tyles" Target="styles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en-US" sz="1000" b="1" i="0" u="none" strike="noStrike" kern="1200" baseline="0">
                <a:solidFill>
                  <a:srgbClr val="000000"/>
                </a:solidFill>
                <a:latin typeface="Arial" panose="020B0604020202020204"/>
                <a:ea typeface="Arial" panose="020B0604020202020204"/>
                <a:cs typeface="Arial" panose="020B0604020202020204"/>
              </a:defRPr>
            </a:pPr>
            <a:r>
              <a:rPr lang="en-US"/>
              <a:t>Maximum versus calculated score</a:t>
            </a:r>
            <a:endParaRPr lang="en-US"/>
          </a:p>
        </c:rich>
      </c:tx>
      <c:layout>
        <c:manualLayout>
          <c:xMode val="edge"/>
          <c:yMode val="edge"/>
          <c:x val="0.281350564875043"/>
          <c:y val="0.0795852456945556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884244546527344"/>
          <c:y val="0.297579111611597"/>
          <c:w val="0.667202703288814"/>
          <c:h val="0.2525962226470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"Maximal score"</c:f>
              <c:strCache>
                <c:ptCount val="1"/>
                <c:pt idx="0">
                  <c:v>Maximal score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elete val="1"/>
          </c:dLbls>
          <c:cat>
            <c:strRef>
              <c:f>'Risk analysis'!$A$56:$A$60</c:f>
              <c:strCache>
                <c:ptCount val="5"/>
                <c:pt idx="0">
                  <c:v>Time factor</c:v>
                </c:pt>
                <c:pt idx="1">
                  <c:v>Complexity </c:v>
                </c:pt>
                <c:pt idx="2">
                  <c:v>Researcher Ability</c:v>
                </c:pt>
                <c:pt idx="3">
                  <c:v>Project management</c:v>
                </c:pt>
                <c:pt idx="4">
                  <c:v>Project definition</c:v>
                </c:pt>
              </c:strCache>
            </c:strRef>
          </c:cat>
          <c:val>
            <c:numRef>
              <c:f>'Risk analysis'!$D$56:$D$60</c:f>
              <c:numCache>
                <c:formatCode>General</c:formatCode>
                <c:ptCount val="5"/>
                <c:pt idx="0">
                  <c:v>40</c:v>
                </c:pt>
                <c:pt idx="1">
                  <c:v>80</c:v>
                </c:pt>
                <c:pt idx="2">
                  <c:v>65</c:v>
                </c:pt>
                <c:pt idx="3">
                  <c:v>129</c:v>
                </c:pt>
                <c:pt idx="4">
                  <c:v>119</c:v>
                </c:pt>
              </c:numCache>
            </c:numRef>
          </c:val>
        </c:ser>
        <c:ser>
          <c:idx val="1"/>
          <c:order val="1"/>
          <c:tx>
            <c:strRef>
              <c:f>"Score"</c:f>
              <c:strCache>
                <c:ptCount val="1"/>
                <c:pt idx="0">
                  <c:v>Score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elete val="1"/>
          </c:dLbls>
          <c:val>
            <c:numRef>
              <c:f>'Risk analysis'!$F$56:$F$60</c:f>
              <c:numCache>
                <c:formatCode>General</c:formatCode>
                <c:ptCount val="5"/>
                <c:pt idx="0">
                  <c:v>16</c:v>
                </c:pt>
                <c:pt idx="1">
                  <c:v>26</c:v>
                </c:pt>
                <c:pt idx="2">
                  <c:v>9</c:v>
                </c:pt>
                <c:pt idx="3">
                  <c:v>21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51945680"/>
        <c:axId val="1"/>
      </c:barChart>
      <c:catAx>
        <c:axId val="1551945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 cap="flat" cmpd="sng" algn="ctr">
            <a:solidFill>
              <a:srgbClr val="000000"/>
            </a:solidFill>
            <a:prstDash val="solid"/>
            <a:round/>
          </a:ln>
        </c:spPr>
        <c:txPr>
          <a:bodyPr rot="-2640000" spcFirstLastPara="0" vertOverflow="ellipsis" vert="horz" wrap="square" anchor="ctr" anchorCtr="1"/>
          <a:lstStyle/>
          <a:p>
            <a:pPr>
              <a:defRPr lang="en-US" sz="825" b="0" i="0" u="none" strike="noStrike" kern="1200" baseline="0">
                <a:solidFill>
                  <a:srgbClr val="000000"/>
                </a:solidFill>
                <a:latin typeface="Arial" panose="020B0604020202020204"/>
                <a:ea typeface="Arial" panose="020B0604020202020204"/>
                <a:cs typeface="Arial" panose="020B0604020202020204"/>
              </a:defRPr>
            </a:pPr>
          </a:p>
        </c:txPr>
        <c:crossAx val="1"/>
        <c:crosses val="autoZero"/>
        <c:auto val="1"/>
        <c:lblAlgn val="ctr"/>
        <c:lblOffset val="100"/>
        <c:tickLblSkip val="1"/>
        <c:noMultiLvlLbl val="0"/>
      </c:catAx>
      <c:valAx>
        <c:axId val="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 cap="flat" cmpd="sng" algn="ctr">
            <a:solidFill>
              <a:srgbClr val="000000"/>
            </a:solidFill>
            <a:prstDash val="solid"/>
            <a:round/>
          </a:ln>
        </c:spPr>
        <c:txPr>
          <a:bodyPr rot="0" spcFirstLastPara="0" vertOverflow="ellipsis" vert="horz" wrap="square" anchor="ctr" anchorCtr="1"/>
          <a:lstStyle/>
          <a:p>
            <a:pPr>
              <a:defRPr lang="en-US" sz="825" b="0" i="0" u="none" strike="noStrike" kern="1200" baseline="0">
                <a:solidFill>
                  <a:srgbClr val="000000"/>
                </a:solidFill>
                <a:latin typeface="Arial" panose="020B0604020202020204"/>
                <a:ea typeface="Arial" panose="020B0604020202020204"/>
                <a:cs typeface="Arial" panose="020B0604020202020204"/>
              </a:defRPr>
            </a:pPr>
          </a:p>
        </c:txPr>
        <c:crossAx val="1551945680"/>
        <c:crosses val="autoZero"/>
        <c:crossBetween val="between"/>
        <c:majorUnit val="50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02931508025443"/>
          <c:y val="0.38432550016851"/>
          <c:w val="0.182578740842995"/>
          <c:h val="0.1411807959802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 rot="0" spcFirstLastPara="0" vertOverflow="ellipsis" vert="horz" wrap="square" anchor="ctr" anchorCtr="1"/>
        <a:lstStyle/>
        <a:p>
          <a:pPr>
            <a:defRPr lang="en-US" sz="630" b="0" i="0" u="none" strike="noStrike" kern="1200" baseline="0">
              <a:solidFill>
                <a:srgbClr val="000000"/>
              </a:solidFill>
              <a:latin typeface="Arial" panose="020B0604020202020204"/>
              <a:ea typeface="Arial" panose="020B0604020202020204"/>
              <a:cs typeface="Arial" panose="020B0604020202020204"/>
            </a:defRPr>
          </a:pPr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d0119032-b231-4bdd-b2f5-e1f5dbfc7e2d}"/>
      </c:ext>
    </c:extLst>
  </c:chart>
  <c:spPr>
    <a:solidFill>
      <a:srgbClr val="FFFFFF"/>
    </a:solidFill>
    <a:ln w="3175" cap="flat" cmpd="sng" algn="ctr">
      <a:solidFill>
        <a:srgbClr val="000000"/>
      </a:solidFill>
      <a:prstDash val="solid"/>
      <a:round/>
    </a:ln>
  </c:spPr>
  <c:txPr>
    <a:bodyPr/>
    <a:lstStyle/>
    <a:p>
      <a:pPr>
        <a:defRPr lang="en-US" sz="825" b="0" i="0" u="none" strike="noStrike" baseline="0">
          <a:solidFill>
            <a:srgbClr val="000000"/>
          </a:solidFill>
          <a:latin typeface="Arial" panose="020B0604020202020204"/>
          <a:ea typeface="Arial" panose="020B0604020202020204"/>
          <a:cs typeface="Arial" panose="020B0604020202020204"/>
        </a:defRPr>
      </a:pPr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9525</xdr:colOff>
      <xdr:row>61</xdr:row>
      <xdr:rowOff>0</xdr:rowOff>
    </xdr:from>
    <xdr:to>
      <xdr:col>5</xdr:col>
      <xdr:colOff>9525</xdr:colOff>
      <xdr:row>78</xdr:row>
      <xdr:rowOff>0</xdr:rowOff>
    </xdr:to>
    <xdr:graphicFrame>
      <xdr:nvGraphicFramePr>
        <xdr:cNvPr id="1108" name="Chart 2"/>
        <xdr:cNvGraphicFramePr/>
      </xdr:nvGraphicFramePr>
      <xdr:xfrm>
        <a:off x="291465" y="13769340"/>
        <a:ext cx="4724400" cy="22021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lnDef>
  </a:objectDefaults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D13"/>
  <sheetViews>
    <sheetView showGridLines="0" workbookViewId="0">
      <selection activeCell="A9" sqref="A9"/>
    </sheetView>
  </sheetViews>
  <sheetFormatPr defaultColWidth="8.88888888888889" defaultRowHeight="13.2" outlineLevelCol="3"/>
  <cols>
    <col min="1" max="1" width="73" customWidth="1"/>
  </cols>
  <sheetData>
    <row r="1" spans="1:1">
      <c r="A1" s="64" t="s">
        <v>0</v>
      </c>
    </row>
    <row r="2" spans="1:1">
      <c r="A2" s="65" t="s">
        <v>1</v>
      </c>
    </row>
    <row r="3" ht="39.6" spans="1:1">
      <c r="A3" s="66" t="s">
        <v>2</v>
      </c>
    </row>
    <row r="4" spans="1:1">
      <c r="A4" s="67" t="s">
        <v>3</v>
      </c>
    </row>
    <row r="5" ht="39.6" spans="1:1">
      <c r="A5" s="66" t="s">
        <v>4</v>
      </c>
    </row>
    <row r="6" spans="1:1">
      <c r="A6" s="67" t="s">
        <v>5</v>
      </c>
    </row>
    <row r="7" ht="39.6" spans="1:1">
      <c r="A7" s="66" t="s">
        <v>6</v>
      </c>
    </row>
    <row r="9" spans="1:1">
      <c r="A9" s="68" t="s">
        <v>7</v>
      </c>
    </row>
    <row r="11" s="2" customFormat="1" ht="10.2" spans="1:4">
      <c r="A11" s="69" t="s">
        <v>8</v>
      </c>
      <c r="B11" s="69"/>
      <c r="C11" s="69"/>
      <c r="D11" s="69"/>
    </row>
    <row r="12" s="2" customFormat="1" ht="10.2" spans="1:4">
      <c r="A12" s="69"/>
      <c r="B12" s="69"/>
      <c r="C12" s="69"/>
      <c r="D12" s="69"/>
    </row>
    <row r="13" s="2" customFormat="1" ht="10.2" spans="1:4">
      <c r="A13" s="69"/>
      <c r="B13" s="69"/>
      <c r="C13" s="69"/>
      <c r="D13" s="69"/>
    </row>
  </sheetData>
  <mergeCells count="1">
    <mergeCell ref="A11:D13"/>
  </mergeCells>
  <pageMargins left="0.75" right="0.75" top="1" bottom="1" header="0.5" footer="0.5"/>
  <pageSetup paperSize="9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J91"/>
  <sheetViews>
    <sheetView tabSelected="1" zoomScale="126" zoomScaleNormal="126" topLeftCell="A35" workbookViewId="0">
      <selection activeCell="C42" sqref="C42"/>
    </sheetView>
  </sheetViews>
  <sheetFormatPr defaultColWidth="9.11111111111111" defaultRowHeight="10.2"/>
  <cols>
    <col min="1" max="1" width="4.11111111111111" style="2" customWidth="1"/>
    <col min="2" max="2" width="35" style="2" customWidth="1"/>
    <col min="3" max="3" width="16.4444444444444" style="2" customWidth="1"/>
    <col min="4" max="4" width="7.44444444444444" style="2" customWidth="1"/>
    <col min="5" max="5" width="10" style="2" customWidth="1"/>
    <col min="6" max="6" width="11.4444444444444" style="2" customWidth="1"/>
    <col min="7" max="36" width="9.11111111111111" style="2" hidden="1" customWidth="1"/>
    <col min="37" max="256" width="11.4444444444444" style="2" customWidth="1"/>
    <col min="257" max="16384" width="9.11111111111111" style="2"/>
  </cols>
  <sheetData>
    <row r="1" ht="15.6" spans="2:3">
      <c r="B1" s="3" t="s">
        <v>9</v>
      </c>
      <c r="C1" s="4" t="s">
        <v>10</v>
      </c>
    </row>
    <row r="2" ht="25.5" customHeight="1" spans="2:3">
      <c r="B2" s="5" t="s">
        <v>11</v>
      </c>
      <c r="C2" s="6">
        <f ca="1">TODAY()</f>
        <v>45915</v>
      </c>
    </row>
    <row r="5" s="1" customFormat="1" spans="1:6">
      <c r="A5" s="7"/>
      <c r="B5" s="8" t="s">
        <v>12</v>
      </c>
      <c r="C5" s="8" t="s">
        <v>13</v>
      </c>
      <c r="D5" s="9" t="s">
        <v>14</v>
      </c>
      <c r="E5" s="9" t="s">
        <v>15</v>
      </c>
      <c r="F5" s="9" t="s">
        <v>16</v>
      </c>
    </row>
    <row r="6" s="1" customFormat="1" spans="1:36">
      <c r="A6" s="10" t="s">
        <v>17</v>
      </c>
      <c r="B6" s="11"/>
      <c r="C6" s="12" t="s">
        <v>18</v>
      </c>
      <c r="D6" s="11"/>
      <c r="E6" s="11"/>
      <c r="F6" s="13"/>
      <c r="H6" s="1">
        <v>1</v>
      </c>
      <c r="I6" s="1">
        <v>2</v>
      </c>
      <c r="J6" s="1">
        <v>3</v>
      </c>
      <c r="K6" s="1">
        <v>4</v>
      </c>
      <c r="L6" s="1">
        <v>5</v>
      </c>
      <c r="M6" s="1">
        <v>6</v>
      </c>
      <c r="N6" s="1">
        <v>7</v>
      </c>
      <c r="O6" s="1">
        <v>8</v>
      </c>
      <c r="P6" s="1">
        <v>9</v>
      </c>
      <c r="Q6" s="1">
        <v>10</v>
      </c>
      <c r="R6" s="1">
        <v>11</v>
      </c>
      <c r="S6" s="1">
        <v>12</v>
      </c>
      <c r="T6" s="1">
        <v>13</v>
      </c>
      <c r="U6" s="1">
        <v>14</v>
      </c>
      <c r="V6" s="1">
        <v>15</v>
      </c>
      <c r="W6" s="1">
        <v>16</v>
      </c>
      <c r="X6" s="1">
        <v>17</v>
      </c>
      <c r="Y6" s="1">
        <v>18</v>
      </c>
      <c r="Z6" s="1">
        <v>19</v>
      </c>
      <c r="AA6" s="1">
        <v>20</v>
      </c>
      <c r="AB6" s="1">
        <v>21</v>
      </c>
      <c r="AC6" s="1">
        <v>22</v>
      </c>
      <c r="AD6" s="1">
        <v>23</v>
      </c>
      <c r="AE6" s="1">
        <v>24</v>
      </c>
      <c r="AF6" s="1">
        <v>25</v>
      </c>
      <c r="AG6" s="1">
        <v>26</v>
      </c>
      <c r="AH6" s="1">
        <v>27</v>
      </c>
      <c r="AI6" s="1">
        <v>28</v>
      </c>
      <c r="AJ6" s="1">
        <v>29</v>
      </c>
    </row>
    <row r="7" ht="25.5" customHeight="1" spans="1:36">
      <c r="A7" s="14">
        <v>1</v>
      </c>
      <c r="B7" s="15" t="s">
        <v>19</v>
      </c>
      <c r="C7" s="16" t="s">
        <v>20</v>
      </c>
      <c r="D7" s="17">
        <f>IF(C7=$H$7,0,IF(C7=$H$8,1,IF(C7=$H$9,3,0)))</f>
        <v>1</v>
      </c>
      <c r="E7" s="17">
        <v>4</v>
      </c>
      <c r="F7" s="17">
        <f>SUM(D7*E7)</f>
        <v>4</v>
      </c>
      <c r="H7" s="2" t="s">
        <v>21</v>
      </c>
      <c r="I7" s="2" t="s">
        <v>22</v>
      </c>
      <c r="J7" s="2" t="s">
        <v>23</v>
      </c>
      <c r="K7" s="2">
        <v>1</v>
      </c>
      <c r="L7" s="2">
        <v>1</v>
      </c>
      <c r="M7" s="2" t="s">
        <v>24</v>
      </c>
      <c r="N7" s="2" t="s">
        <v>25</v>
      </c>
      <c r="O7" s="2" t="s">
        <v>22</v>
      </c>
      <c r="P7" s="2" t="s">
        <v>26</v>
      </c>
      <c r="Q7" s="2" t="s">
        <v>22</v>
      </c>
      <c r="R7" s="2" t="s">
        <v>27</v>
      </c>
      <c r="S7" s="2" t="s">
        <v>28</v>
      </c>
      <c r="T7" s="70" t="s">
        <v>29</v>
      </c>
      <c r="U7" s="2" t="s">
        <v>30</v>
      </c>
      <c r="V7" s="2" t="s">
        <v>31</v>
      </c>
      <c r="W7" s="2" t="s">
        <v>32</v>
      </c>
      <c r="X7" s="2" t="s">
        <v>32</v>
      </c>
      <c r="Y7" s="2" t="s">
        <v>32</v>
      </c>
      <c r="Z7" s="2" t="s">
        <v>32</v>
      </c>
      <c r="AA7" s="2" t="s">
        <v>32</v>
      </c>
      <c r="AB7" s="2" t="s">
        <v>33</v>
      </c>
      <c r="AC7" s="2" t="s">
        <v>34</v>
      </c>
      <c r="AD7" s="2" t="s">
        <v>35</v>
      </c>
      <c r="AE7" s="2" t="s">
        <v>36</v>
      </c>
      <c r="AF7" s="2" t="s">
        <v>37</v>
      </c>
      <c r="AG7" s="2" t="s">
        <v>38</v>
      </c>
      <c r="AH7" s="2" t="s">
        <v>38</v>
      </c>
      <c r="AI7" s="2" t="s">
        <v>37</v>
      </c>
      <c r="AJ7" s="2" t="s">
        <v>37</v>
      </c>
    </row>
    <row r="8" ht="25.5" customHeight="1" spans="1:36">
      <c r="A8" s="14">
        <v>2</v>
      </c>
      <c r="B8" s="18" t="s">
        <v>39</v>
      </c>
      <c r="C8" s="19" t="s">
        <v>40</v>
      </c>
      <c r="D8" s="17">
        <f>IF(C8=$I$7,0,IF(C8=$I$8,2,IF(C8=$I$9,4,0)))</f>
        <v>2</v>
      </c>
      <c r="E8" s="20">
        <v>4</v>
      </c>
      <c r="F8" s="20">
        <f t="shared" ref="F8:F17" si="0">SUM(D8*E8)</f>
        <v>8</v>
      </c>
      <c r="H8" s="2" t="s">
        <v>20</v>
      </c>
      <c r="I8" s="2" t="s">
        <v>40</v>
      </c>
      <c r="J8" s="2" t="s">
        <v>41</v>
      </c>
      <c r="K8" s="2">
        <v>2</v>
      </c>
      <c r="L8" s="71" t="s">
        <v>42</v>
      </c>
      <c r="M8" s="2" t="s">
        <v>43</v>
      </c>
      <c r="N8" s="2" t="s">
        <v>44</v>
      </c>
      <c r="O8" s="2" t="s">
        <v>45</v>
      </c>
      <c r="P8" s="2" t="s">
        <v>46</v>
      </c>
      <c r="Q8" s="2" t="s">
        <v>47</v>
      </c>
      <c r="R8" s="2" t="s">
        <v>48</v>
      </c>
      <c r="S8" s="70" t="s">
        <v>49</v>
      </c>
      <c r="T8" s="70" t="s">
        <v>50</v>
      </c>
      <c r="U8" s="2" t="s">
        <v>51</v>
      </c>
      <c r="V8" s="2" t="s">
        <v>52</v>
      </c>
      <c r="W8" s="2" t="s">
        <v>53</v>
      </c>
      <c r="X8" s="2" t="s">
        <v>53</v>
      </c>
      <c r="Y8" s="2" t="s">
        <v>53</v>
      </c>
      <c r="Z8" s="2" t="s">
        <v>53</v>
      </c>
      <c r="AA8" s="2" t="s">
        <v>53</v>
      </c>
      <c r="AB8" s="2" t="s">
        <v>54</v>
      </c>
      <c r="AC8" s="2" t="s">
        <v>55</v>
      </c>
      <c r="AD8" s="2" t="s">
        <v>56</v>
      </c>
      <c r="AE8" s="2" t="s">
        <v>57</v>
      </c>
      <c r="AF8" s="2" t="s">
        <v>58</v>
      </c>
      <c r="AG8" s="2" t="s">
        <v>59</v>
      </c>
      <c r="AH8" s="2" t="s">
        <v>59</v>
      </c>
      <c r="AI8" s="2" t="s">
        <v>60</v>
      </c>
      <c r="AJ8" s="2" t="s">
        <v>61</v>
      </c>
    </row>
    <row r="9" ht="25.5" customHeight="1" spans="1:36">
      <c r="A9" s="14">
        <v>3</v>
      </c>
      <c r="B9" s="21" t="s">
        <v>62</v>
      </c>
      <c r="C9" s="22" t="s">
        <v>41</v>
      </c>
      <c r="D9" s="17">
        <f>IF(C9=$J$7,0,IF(C9=$J$8,1,IF(C9=$J$9,3,0)))</f>
        <v>1</v>
      </c>
      <c r="E9" s="23">
        <v>4</v>
      </c>
      <c r="F9" s="23">
        <f t="shared" si="0"/>
        <v>4</v>
      </c>
      <c r="H9" s="2" t="s">
        <v>63</v>
      </c>
      <c r="I9" s="2" t="s">
        <v>64</v>
      </c>
      <c r="J9" s="2" t="s">
        <v>65</v>
      </c>
      <c r="K9" s="2" t="s">
        <v>66</v>
      </c>
      <c r="L9" s="2">
        <v>4</v>
      </c>
      <c r="M9" s="2" t="s">
        <v>67</v>
      </c>
      <c r="N9" s="2" t="s">
        <v>68</v>
      </c>
      <c r="O9" s="2" t="s">
        <v>69</v>
      </c>
      <c r="P9" s="2" t="s">
        <v>70</v>
      </c>
      <c r="Q9" s="2" t="s">
        <v>71</v>
      </c>
      <c r="R9" s="2" t="s">
        <v>72</v>
      </c>
      <c r="S9" s="2" t="s">
        <v>73</v>
      </c>
      <c r="T9" s="2" t="s">
        <v>74</v>
      </c>
      <c r="U9" s="2" t="s">
        <v>75</v>
      </c>
      <c r="V9" s="2" t="s">
        <v>76</v>
      </c>
      <c r="W9" s="2" t="s">
        <v>77</v>
      </c>
      <c r="X9" s="2" t="s">
        <v>77</v>
      </c>
      <c r="Y9" s="2" t="s">
        <v>77</v>
      </c>
      <c r="Z9" s="2" t="s">
        <v>77</v>
      </c>
      <c r="AA9" s="2" t="s">
        <v>77</v>
      </c>
      <c r="AB9" s="2" t="s">
        <v>77</v>
      </c>
      <c r="AC9" s="2" t="s">
        <v>78</v>
      </c>
      <c r="AD9" s="2" t="s">
        <v>79</v>
      </c>
      <c r="AE9" s="2" t="s">
        <v>80</v>
      </c>
      <c r="AF9" s="2" t="s">
        <v>81</v>
      </c>
      <c r="AG9" s="2" t="s">
        <v>82</v>
      </c>
      <c r="AH9" s="2" t="s">
        <v>82</v>
      </c>
      <c r="AI9" s="2" t="s">
        <v>83</v>
      </c>
      <c r="AJ9" s="2" t="s">
        <v>84</v>
      </c>
    </row>
    <row r="10" spans="1:35">
      <c r="A10" s="24" t="s">
        <v>85</v>
      </c>
      <c r="B10" s="25"/>
      <c r="C10" s="12" t="s">
        <v>18</v>
      </c>
      <c r="D10" s="25"/>
      <c r="E10" s="25"/>
      <c r="F10" s="26"/>
      <c r="N10" s="2" t="s">
        <v>86</v>
      </c>
      <c r="AI10" s="2" t="s">
        <v>84</v>
      </c>
    </row>
    <row r="11" ht="25.5" customHeight="1" spans="1:6">
      <c r="A11" s="14">
        <v>4</v>
      </c>
      <c r="B11" s="18" t="s">
        <v>87</v>
      </c>
      <c r="C11" s="27">
        <v>1</v>
      </c>
      <c r="D11" s="17">
        <f>IF(C11=$K$7,0,IF(C11=$K$8,1,IF(C11=$K$9,3,0)))</f>
        <v>0</v>
      </c>
      <c r="E11" s="17">
        <v>4</v>
      </c>
      <c r="F11" s="17">
        <f t="shared" si="0"/>
        <v>0</v>
      </c>
    </row>
    <row r="12" ht="25.5" customHeight="1" spans="1:6">
      <c r="A12" s="14">
        <v>5</v>
      </c>
      <c r="B12" s="21" t="s">
        <v>88</v>
      </c>
      <c r="C12" s="28">
        <v>1</v>
      </c>
      <c r="D12" s="17">
        <f>IF(C12=$L$7,0,IF(C12=$L$8,1,IF(C12=$L$9,2,0)))</f>
        <v>0</v>
      </c>
      <c r="E12" s="20">
        <v>2</v>
      </c>
      <c r="F12" s="20">
        <f t="shared" si="0"/>
        <v>0</v>
      </c>
    </row>
    <row r="13" ht="25.5" customHeight="1" spans="1:6">
      <c r="A13" s="14">
        <v>6</v>
      </c>
      <c r="B13" s="18" t="s">
        <v>89</v>
      </c>
      <c r="C13" s="29" t="s">
        <v>67</v>
      </c>
      <c r="D13" s="17">
        <f>IF(C13=$M$7,0,IF(C13=$M$8,2,IF(C13=$M$9,3,0)))</f>
        <v>3</v>
      </c>
      <c r="E13" s="20">
        <v>5</v>
      </c>
      <c r="F13" s="20">
        <f t="shared" si="0"/>
        <v>15</v>
      </c>
    </row>
    <row r="14" ht="20.4" spans="1:6">
      <c r="A14" s="14">
        <v>7</v>
      </c>
      <c r="B14" s="21" t="s">
        <v>90</v>
      </c>
      <c r="C14" s="29" t="s">
        <v>25</v>
      </c>
      <c r="D14" s="17">
        <f>IF(C14=$N$7,0,IF(C14=$N$8,1,IF(C14=$N$9,2,IF(C14=N10,3,0))))</f>
        <v>0</v>
      </c>
      <c r="E14" s="20">
        <v>5</v>
      </c>
      <c r="F14" s="20">
        <f t="shared" si="0"/>
        <v>0</v>
      </c>
    </row>
    <row r="15" ht="25.5" customHeight="1" spans="1:6">
      <c r="A15" s="14">
        <v>8</v>
      </c>
      <c r="B15" s="18" t="s">
        <v>91</v>
      </c>
      <c r="C15" s="29" t="s">
        <v>22</v>
      </c>
      <c r="D15" s="17">
        <f>IF(C15=$O$7,0,IF(C15=$O$8,1,IF(C15=$O$9,3,0)))</f>
        <v>0</v>
      </c>
      <c r="E15" s="20">
        <v>5</v>
      </c>
      <c r="F15" s="20">
        <f t="shared" si="0"/>
        <v>0</v>
      </c>
    </row>
    <row r="16" ht="25.5" customHeight="1" spans="1:6">
      <c r="A16" s="14">
        <v>9</v>
      </c>
      <c r="B16" s="30" t="s">
        <v>92</v>
      </c>
      <c r="C16" s="29" t="s">
        <v>46</v>
      </c>
      <c r="D16" s="17">
        <f>IF(C16=$P$7,0,IF(C16=$P$8,1,IF(C16=$P$9,2,0)))</f>
        <v>1</v>
      </c>
      <c r="E16" s="20">
        <v>5</v>
      </c>
      <c r="F16" s="20">
        <f t="shared" si="0"/>
        <v>5</v>
      </c>
    </row>
    <row r="17" ht="25.5" customHeight="1" spans="1:6">
      <c r="A17" s="14">
        <v>10</v>
      </c>
      <c r="B17" s="31" t="s">
        <v>93</v>
      </c>
      <c r="C17" s="32" t="s">
        <v>47</v>
      </c>
      <c r="D17" s="17">
        <f>IF(C17=$Q$7,1,IF(C17=$Q$8,2,IF(C17=$Q$9,3,0)))</f>
        <v>2</v>
      </c>
      <c r="E17" s="23">
        <v>3</v>
      </c>
      <c r="F17" s="23">
        <f t="shared" si="0"/>
        <v>6</v>
      </c>
    </row>
    <row r="18" spans="1:6">
      <c r="A18" s="10" t="s">
        <v>94</v>
      </c>
      <c r="B18" s="25"/>
      <c r="C18" s="12"/>
      <c r="D18" s="33"/>
      <c r="E18" s="33"/>
      <c r="F18" s="26"/>
    </row>
    <row r="19" ht="25.5" customHeight="1" spans="1:6">
      <c r="A19" s="14">
        <v>11</v>
      </c>
      <c r="B19" s="17" t="s">
        <v>95</v>
      </c>
      <c r="C19" s="27" t="s">
        <v>27</v>
      </c>
      <c r="D19" s="17">
        <f>IF(C19=$R$7,0,IF(C19=$R$8,1,IF(C19=$R$9,3,0)))</f>
        <v>0</v>
      </c>
      <c r="E19" s="17">
        <v>4</v>
      </c>
      <c r="F19" s="17">
        <f>SUM(D19*E19)</f>
        <v>0</v>
      </c>
    </row>
    <row r="20" ht="25.5" customHeight="1" spans="1:6">
      <c r="A20" s="14">
        <v>12</v>
      </c>
      <c r="B20" s="20" t="s">
        <v>96</v>
      </c>
      <c r="C20" s="29" t="s">
        <v>28</v>
      </c>
      <c r="D20" s="17">
        <f>IF(C20=$S$7,0,IF(C20=$S$8,1,IF(C20=$S$9,2,0)))</f>
        <v>0</v>
      </c>
      <c r="E20" s="20">
        <v>2</v>
      </c>
      <c r="F20" s="20">
        <f>SUM(D20*E20)</f>
        <v>0</v>
      </c>
    </row>
    <row r="21" ht="25.5" customHeight="1" spans="1:6">
      <c r="A21" s="14">
        <v>13</v>
      </c>
      <c r="B21" s="20" t="s">
        <v>97</v>
      </c>
      <c r="C21" s="29" t="s">
        <v>29</v>
      </c>
      <c r="D21" s="17">
        <f>IF(C21=$T$7,0,IF(C21=$T$8,2,IF(C21=$T$9,4,0)))</f>
        <v>0</v>
      </c>
      <c r="E21" s="20">
        <v>5</v>
      </c>
      <c r="F21" s="20">
        <f>SUM(D21*E21)</f>
        <v>0</v>
      </c>
    </row>
    <row r="22" ht="25.5" customHeight="1" spans="1:6">
      <c r="A22" s="14">
        <v>14</v>
      </c>
      <c r="B22" s="20" t="s">
        <v>98</v>
      </c>
      <c r="C22" s="29" t="s">
        <v>30</v>
      </c>
      <c r="D22" s="17">
        <f>IF(C22=$U$7,0,IF(C22=$U$8,2,IF(C22=$U$9,4,0)))</f>
        <v>0</v>
      </c>
      <c r="E22" s="20">
        <v>5</v>
      </c>
      <c r="F22" s="20">
        <f>SUM(D22*E22)</f>
        <v>0</v>
      </c>
    </row>
    <row r="23" ht="25.5" customHeight="1" spans="1:6">
      <c r="A23" s="14">
        <v>15</v>
      </c>
      <c r="B23" s="23" t="s">
        <v>99</v>
      </c>
      <c r="C23" s="32" t="s">
        <v>76</v>
      </c>
      <c r="D23" s="17">
        <f>IF(C23=$V$7,0,IF(C23=$V$8,1,IF(C23=$V$9,3,0)))</f>
        <v>3</v>
      </c>
      <c r="E23" s="23">
        <v>3</v>
      </c>
      <c r="F23" s="23">
        <f>SUM(D23*E23)</f>
        <v>9</v>
      </c>
    </row>
    <row r="24" spans="1:6">
      <c r="A24" s="10" t="s">
        <v>100</v>
      </c>
      <c r="B24" s="25"/>
      <c r="C24" s="12" t="s">
        <v>18</v>
      </c>
      <c r="D24" s="33"/>
      <c r="E24" s="33"/>
      <c r="F24" s="26"/>
    </row>
    <row r="25" ht="25.5" customHeight="1" spans="1:6">
      <c r="A25" s="17">
        <v>16</v>
      </c>
      <c r="B25" s="17" t="s">
        <v>101</v>
      </c>
      <c r="C25" s="27" t="s">
        <v>53</v>
      </c>
      <c r="D25" s="17">
        <f>IF(C25=$W$7,0,IF(C25=$W$8,2,IF(C25=$W$9,4,0)))</f>
        <v>2</v>
      </c>
      <c r="E25" s="34">
        <v>3</v>
      </c>
      <c r="F25" s="34">
        <f t="shared" ref="F25:F32" si="1">SUM(D25*E25)</f>
        <v>6</v>
      </c>
    </row>
    <row r="26" ht="25.5" customHeight="1" spans="1:6">
      <c r="A26" s="20">
        <v>17</v>
      </c>
      <c r="B26" s="20" t="s">
        <v>102</v>
      </c>
      <c r="C26" s="29" t="s">
        <v>32</v>
      </c>
      <c r="D26" s="17">
        <f>IF(C26=$X$7,0,IF(C26=$X$8,2,IF(C26=$X$9,4,0)))</f>
        <v>0</v>
      </c>
      <c r="E26" s="23">
        <v>3</v>
      </c>
      <c r="F26" s="23">
        <f t="shared" si="1"/>
        <v>0</v>
      </c>
    </row>
    <row r="27" ht="25.5" customHeight="1" spans="1:6">
      <c r="A27" s="20">
        <v>18</v>
      </c>
      <c r="B27" s="20" t="s">
        <v>103</v>
      </c>
      <c r="C27" s="29" t="s">
        <v>32</v>
      </c>
      <c r="D27" s="17">
        <f>IF(C27=$Y$7,0,IF(C27=$Y$8,1,IF(C27=$Y$9,3,0)))</f>
        <v>0</v>
      </c>
      <c r="E27" s="23">
        <v>3</v>
      </c>
      <c r="F27" s="23">
        <f t="shared" si="1"/>
        <v>0</v>
      </c>
    </row>
    <row r="28" ht="25.5" customHeight="1" spans="1:6">
      <c r="A28" s="20">
        <v>19</v>
      </c>
      <c r="B28" s="20" t="s">
        <v>104</v>
      </c>
      <c r="C28" s="29" t="s">
        <v>32</v>
      </c>
      <c r="D28" s="17">
        <f>IF(C28=$Z$7,0,IF(C28=$Z$8,1,IF(C28=$Z$9,3,0)))</f>
        <v>0</v>
      </c>
      <c r="E28" s="23">
        <v>5</v>
      </c>
      <c r="F28" s="23">
        <f t="shared" si="1"/>
        <v>0</v>
      </c>
    </row>
    <row r="29" ht="25.5" customHeight="1" spans="1:6">
      <c r="A29" s="20">
        <v>20</v>
      </c>
      <c r="B29" s="20" t="s">
        <v>105</v>
      </c>
      <c r="C29" s="29" t="s">
        <v>53</v>
      </c>
      <c r="D29" s="17">
        <f>IF(C29=$AA$7,0,IF(C29=$AA$8,1,IF(C29=$AA$9,3,0)))</f>
        <v>1</v>
      </c>
      <c r="E29" s="23">
        <v>5</v>
      </c>
      <c r="F29" s="23">
        <f t="shared" si="1"/>
        <v>5</v>
      </c>
    </row>
    <row r="30" ht="25.5" customHeight="1" spans="1:6">
      <c r="A30" s="20">
        <v>21</v>
      </c>
      <c r="B30" s="20" t="s">
        <v>106</v>
      </c>
      <c r="C30" s="29" t="s">
        <v>54</v>
      </c>
      <c r="D30" s="17">
        <f>IF(C30=$AB$7,0,IF(C30=$AB$8,2,IF(C30=$AB$9,5,0)))</f>
        <v>2</v>
      </c>
      <c r="E30" s="23">
        <v>5</v>
      </c>
      <c r="F30" s="23">
        <f t="shared" si="1"/>
        <v>10</v>
      </c>
    </row>
    <row r="31" ht="25.5" customHeight="1" spans="1:6">
      <c r="A31" s="20">
        <v>22</v>
      </c>
      <c r="B31" s="20" t="s">
        <v>107</v>
      </c>
      <c r="C31" s="29" t="s">
        <v>34</v>
      </c>
      <c r="D31" s="17">
        <f>IF(C31=$AC$7,0,IF(C31=$AC$8,2,IF(C31=$AC$9,5,0)))</f>
        <v>0</v>
      </c>
      <c r="E31" s="23">
        <v>5</v>
      </c>
      <c r="F31" s="23">
        <f t="shared" si="1"/>
        <v>0</v>
      </c>
    </row>
    <row r="32" ht="25.5" customHeight="1" spans="1:6">
      <c r="A32" s="20">
        <v>23</v>
      </c>
      <c r="B32" s="20" t="s">
        <v>108</v>
      </c>
      <c r="C32" s="19" t="s">
        <v>35</v>
      </c>
      <c r="D32" s="17">
        <f>IF(C32=$AD$7,0,IF(C32=$AD$8,2,IF(C32=$AD$9,4,0)))</f>
        <v>0</v>
      </c>
      <c r="E32" s="20">
        <v>4</v>
      </c>
      <c r="F32" s="20">
        <f t="shared" si="1"/>
        <v>0</v>
      </c>
    </row>
    <row r="33" ht="12" customHeight="1" spans="1:6">
      <c r="A33" s="35"/>
      <c r="B33" s="35"/>
      <c r="C33" s="35"/>
      <c r="D33" s="35"/>
      <c r="E33" s="35"/>
      <c r="F33" s="35"/>
    </row>
    <row r="34" ht="13.5" customHeight="1" spans="1:6">
      <c r="A34" s="36" t="s">
        <v>109</v>
      </c>
      <c r="B34" s="35"/>
      <c r="C34" s="35"/>
      <c r="D34" s="35"/>
      <c r="E34" s="35"/>
      <c r="F34" s="35"/>
    </row>
    <row r="35" ht="12" customHeight="1" spans="1:6">
      <c r="A35" s="37"/>
      <c r="B35" s="37"/>
      <c r="C35" s="37"/>
      <c r="D35" s="37"/>
      <c r="E35" s="37"/>
      <c r="F35" s="37"/>
    </row>
    <row r="36" s="1" customFormat="1" spans="1:6">
      <c r="A36" s="38"/>
      <c r="B36" s="38" t="s">
        <v>12</v>
      </c>
      <c r="C36" s="38" t="s">
        <v>13</v>
      </c>
      <c r="D36" s="38" t="s">
        <v>14</v>
      </c>
      <c r="E36" s="38" t="s">
        <v>110</v>
      </c>
      <c r="F36" s="38" t="s">
        <v>16</v>
      </c>
    </row>
    <row r="37" spans="1:6">
      <c r="A37" s="10" t="s">
        <v>111</v>
      </c>
      <c r="B37" s="25"/>
      <c r="C37" s="12" t="s">
        <v>112</v>
      </c>
      <c r="D37" s="33"/>
      <c r="E37" s="33"/>
      <c r="F37" s="26"/>
    </row>
    <row r="38" ht="25.5" customHeight="1" spans="1:6">
      <c r="A38" s="20">
        <v>24</v>
      </c>
      <c r="B38" s="20" t="s">
        <v>113</v>
      </c>
      <c r="C38" s="29" t="s">
        <v>36</v>
      </c>
      <c r="D38" s="17">
        <f>IF(C38=$AE$7,0,IF(C38=$AE$8,1,IF(C38=$AE$9,5,0)))</f>
        <v>0</v>
      </c>
      <c r="E38" s="20">
        <v>5</v>
      </c>
      <c r="F38" s="20">
        <f t="shared" ref="F38:F43" si="2">SUM(D38*E38)</f>
        <v>0</v>
      </c>
    </row>
    <row r="39" ht="25.5" customHeight="1" spans="1:6">
      <c r="A39" s="20">
        <v>25</v>
      </c>
      <c r="B39" s="20" t="s">
        <v>114</v>
      </c>
      <c r="C39" s="29" t="s">
        <v>37</v>
      </c>
      <c r="D39" s="17">
        <f>IF(C39=$AF$7,0,IF(C39=$AF$8,2,IF(C39=$AF$9,5,0)))</f>
        <v>0</v>
      </c>
      <c r="E39" s="20">
        <v>5</v>
      </c>
      <c r="F39" s="20">
        <f t="shared" si="2"/>
        <v>0</v>
      </c>
    </row>
    <row r="40" ht="25.5" customHeight="1" spans="1:6">
      <c r="A40" s="20">
        <v>26</v>
      </c>
      <c r="B40" s="20" t="s">
        <v>115</v>
      </c>
      <c r="C40" s="29" t="s">
        <v>38</v>
      </c>
      <c r="D40" s="17">
        <f>IF(C40=$AG$7,0,IF(C40=$AG$8,1,IF(C40=$AG$9,3,0)))</f>
        <v>0</v>
      </c>
      <c r="E40" s="20">
        <v>4</v>
      </c>
      <c r="F40" s="20">
        <f t="shared" si="2"/>
        <v>0</v>
      </c>
    </row>
    <row r="41" ht="25.5" customHeight="1" spans="1:6">
      <c r="A41" s="20">
        <v>27</v>
      </c>
      <c r="B41" s="20" t="s">
        <v>116</v>
      </c>
      <c r="C41" s="29" t="s">
        <v>38</v>
      </c>
      <c r="D41" s="17">
        <f>IF(C41=$AH$7,0,IF(C41=$AH$8,1,IF(C41=$AH$9,3,0)))</f>
        <v>0</v>
      </c>
      <c r="E41" s="20">
        <v>4</v>
      </c>
      <c r="F41" s="20">
        <f t="shared" si="2"/>
        <v>0</v>
      </c>
    </row>
    <row r="42" ht="25.5" customHeight="1" spans="1:6">
      <c r="A42" s="20">
        <v>28</v>
      </c>
      <c r="B42" s="20" t="s">
        <v>117</v>
      </c>
      <c r="C42" s="29" t="s">
        <v>37</v>
      </c>
      <c r="D42" s="17">
        <f>IF(C42=$AI$7,0,IF(C42=$AI$8,1,IF(C42=$AI$9,3,IF(C42=AI10,5,0))))</f>
        <v>0</v>
      </c>
      <c r="E42" s="20">
        <v>4</v>
      </c>
      <c r="F42" s="20">
        <f t="shared" si="2"/>
        <v>0</v>
      </c>
    </row>
    <row r="43" ht="25.5" customHeight="1" spans="1:6">
      <c r="A43" s="20">
        <v>29</v>
      </c>
      <c r="B43" s="20" t="s">
        <v>118</v>
      </c>
      <c r="C43" s="29" t="s">
        <v>37</v>
      </c>
      <c r="D43" s="17">
        <f>IF(C43=$AJ$7,0,IF(C43=$AJ$8,2,IF(C43=$AJ$9,5,0)))</f>
        <v>0</v>
      </c>
      <c r="E43" s="23">
        <v>5</v>
      </c>
      <c r="F43" s="23">
        <f t="shared" si="2"/>
        <v>0</v>
      </c>
    </row>
    <row r="44" spans="1:6">
      <c r="A44" s="39"/>
      <c r="D44" s="40" t="s">
        <v>119</v>
      </c>
      <c r="E44" s="41"/>
      <c r="F44" s="42">
        <f>SUM(F7:F43)</f>
        <v>72</v>
      </c>
    </row>
    <row r="45" spans="4:6">
      <c r="D45" s="10" t="s">
        <v>120</v>
      </c>
      <c r="E45" s="43"/>
      <c r="F45" s="44">
        <f>(F44/433)</f>
        <v>0.166281755196305</v>
      </c>
    </row>
    <row r="47" spans="1:1">
      <c r="A47" s="45" t="s">
        <v>121</v>
      </c>
    </row>
    <row r="48" spans="1:1">
      <c r="A48" s="45" t="s">
        <v>122</v>
      </c>
    </row>
    <row r="49" spans="1:1">
      <c r="A49" s="45" t="s">
        <v>123</v>
      </c>
    </row>
    <row r="51" spans="1:1">
      <c r="A51" s="2" t="s">
        <v>124</v>
      </c>
    </row>
    <row r="52" spans="1:4">
      <c r="A52" s="46" t="s">
        <v>125</v>
      </c>
      <c r="B52" s="46"/>
      <c r="C52" s="46"/>
      <c r="D52" s="46"/>
    </row>
    <row r="53" spans="1:1">
      <c r="A53" s="2" t="s">
        <v>126</v>
      </c>
    </row>
    <row r="55" spans="1:6">
      <c r="A55" s="47" t="s">
        <v>127</v>
      </c>
      <c r="B55" s="48"/>
      <c r="C55" s="25"/>
      <c r="D55" s="25"/>
      <c r="E55" s="25"/>
      <c r="F55" s="41"/>
    </row>
    <row r="56" spans="1:6">
      <c r="A56" s="49" t="s">
        <v>17</v>
      </c>
      <c r="B56" s="41"/>
      <c r="C56" s="41" t="s">
        <v>128</v>
      </c>
      <c r="D56" s="50">
        <v>40</v>
      </c>
      <c r="E56" s="50" t="s">
        <v>129</v>
      </c>
      <c r="F56" s="50">
        <f>SUM(F7:F9)</f>
        <v>16</v>
      </c>
    </row>
    <row r="57" spans="1:6">
      <c r="A57" s="51" t="s">
        <v>130</v>
      </c>
      <c r="B57" s="52"/>
      <c r="C57" s="41" t="s">
        <v>128</v>
      </c>
      <c r="D57" s="50">
        <v>80</v>
      </c>
      <c r="E57" s="50" t="s">
        <v>129</v>
      </c>
      <c r="F57" s="50">
        <f>SUM(F11:F17)</f>
        <v>26</v>
      </c>
    </row>
    <row r="58" spans="1:6">
      <c r="A58" s="50" t="s">
        <v>131</v>
      </c>
      <c r="B58" s="50"/>
      <c r="C58" s="41" t="s">
        <v>128</v>
      </c>
      <c r="D58" s="50">
        <v>65</v>
      </c>
      <c r="E58" s="50" t="s">
        <v>129</v>
      </c>
      <c r="F58" s="50">
        <f>SUM(F19:F23)</f>
        <v>9</v>
      </c>
    </row>
    <row r="59" spans="1:6">
      <c r="A59" s="50" t="s">
        <v>100</v>
      </c>
      <c r="B59" s="50"/>
      <c r="C59" s="41" t="s">
        <v>128</v>
      </c>
      <c r="D59" s="50">
        <v>129</v>
      </c>
      <c r="E59" s="50" t="s">
        <v>129</v>
      </c>
      <c r="F59" s="50">
        <f>SUM(F25:F32)</f>
        <v>21</v>
      </c>
    </row>
    <row r="60" spans="1:6">
      <c r="A60" s="50" t="s">
        <v>111</v>
      </c>
      <c r="B60" s="50"/>
      <c r="C60" s="41" t="s">
        <v>128</v>
      </c>
      <c r="D60" s="50">
        <v>119</v>
      </c>
      <c r="E60" s="50" t="s">
        <v>129</v>
      </c>
      <c r="F60" s="50">
        <f>SUM(F38:F43)</f>
        <v>0</v>
      </c>
    </row>
    <row r="61" ht="6" customHeight="1"/>
    <row r="79" ht="6" customHeight="1"/>
    <row r="80" ht="12.75" customHeight="1" spans="1:5">
      <c r="A80" s="39" t="s">
        <v>132</v>
      </c>
      <c r="B80" s="54"/>
      <c r="C80" s="55"/>
      <c r="D80" s="55"/>
      <c r="E80" s="56"/>
    </row>
    <row r="81" ht="12.75" customHeight="1" spans="2:5">
      <c r="B81" s="57"/>
      <c r="C81" s="58"/>
      <c r="D81" s="58"/>
      <c r="E81" s="59"/>
    </row>
    <row r="82" ht="12.75" customHeight="1" spans="2:5">
      <c r="B82" s="57"/>
      <c r="C82" s="58"/>
      <c r="D82" s="58"/>
      <c r="E82" s="59"/>
    </row>
    <row r="83" ht="12.75" customHeight="1" spans="2:5">
      <c r="B83" s="57"/>
      <c r="C83" s="58"/>
      <c r="D83" s="58"/>
      <c r="E83" s="59"/>
    </row>
    <row r="84" ht="12.75" customHeight="1" spans="2:5">
      <c r="B84" s="57"/>
      <c r="C84" s="58"/>
      <c r="D84" s="58"/>
      <c r="E84" s="59"/>
    </row>
    <row r="85" ht="12.75" customHeight="1" spans="2:5">
      <c r="B85" s="57"/>
      <c r="C85" s="58"/>
      <c r="D85" s="58"/>
      <c r="E85" s="59"/>
    </row>
    <row r="86" ht="12.75" customHeight="1" spans="2:5">
      <c r="B86" s="57"/>
      <c r="C86" s="58"/>
      <c r="D86" s="58"/>
      <c r="E86" s="59"/>
    </row>
    <row r="87" ht="12.75" customHeight="1" spans="2:5">
      <c r="B87" s="57"/>
      <c r="C87" s="58"/>
      <c r="D87" s="58"/>
      <c r="E87" s="59"/>
    </row>
    <row r="88" ht="12.75" customHeight="1" spans="2:5">
      <c r="B88" s="57"/>
      <c r="C88" s="58"/>
      <c r="D88" s="58"/>
      <c r="E88" s="59"/>
    </row>
    <row r="89" ht="12.75" customHeight="1" spans="2:5">
      <c r="B89" s="60"/>
      <c r="C89" s="61"/>
      <c r="D89" s="61"/>
      <c r="E89" s="62"/>
    </row>
    <row r="90" ht="6" customHeight="1"/>
    <row r="91" spans="2:5">
      <c r="B91" s="63"/>
      <c r="C91" s="63"/>
      <c r="D91" s="63"/>
      <c r="E91" s="63"/>
    </row>
  </sheetData>
  <sheetProtection selectLockedCells="1"/>
  <mergeCells count="3">
    <mergeCell ref="A52:D52"/>
    <mergeCell ref="B91:E91"/>
    <mergeCell ref="B80:E89"/>
  </mergeCells>
  <dataValidations count="29">
    <dataValidation type="list" allowBlank="1" showInputMessage="1" showErrorMessage="1" sqref="C7">
      <formula1>$H$7:$H$9</formula1>
    </dataValidation>
    <dataValidation type="list" allowBlank="1" showInputMessage="1" showErrorMessage="1" sqref="C8">
      <formula1>$I$7:$I$9</formula1>
    </dataValidation>
    <dataValidation type="list" allowBlank="1" showInputMessage="1" showErrorMessage="1" sqref="C9">
      <formula1>$J$7:$J$9</formula1>
    </dataValidation>
    <dataValidation type="list" allowBlank="1" showInputMessage="1" showErrorMessage="1" sqref="C11">
      <formula1>$K$7:$K$9</formula1>
    </dataValidation>
    <dataValidation type="list" allowBlank="1" showInputMessage="1" showErrorMessage="1" sqref="C12">
      <formula1>$L$7:$L$9</formula1>
    </dataValidation>
    <dataValidation type="list" allowBlank="1" showInputMessage="1" showErrorMessage="1" sqref="C13">
      <formula1>$M$7:$M$9</formula1>
    </dataValidation>
    <dataValidation type="list" allowBlank="1" showInputMessage="1" showErrorMessage="1" sqref="C14">
      <formula1>$N$7:$N$10</formula1>
    </dataValidation>
    <dataValidation type="list" allowBlank="1" showInputMessage="1" showErrorMessage="1" sqref="C15">
      <formula1>$O$7:$O$9</formula1>
    </dataValidation>
    <dataValidation type="list" allowBlank="1" showInputMessage="1" showErrorMessage="1" sqref="C16">
      <formula1>$P$7:$P$9</formula1>
    </dataValidation>
    <dataValidation type="list" allowBlank="1" showInputMessage="1" showErrorMessage="1" sqref="C17">
      <formula1>$Q$7:$Q$9</formula1>
    </dataValidation>
    <dataValidation type="list" allowBlank="1" showInputMessage="1" showErrorMessage="1" sqref="C19">
      <formula1>$R$7:$R$9</formula1>
    </dataValidation>
    <dataValidation type="list" allowBlank="1" showInputMessage="1" showErrorMessage="1" sqref="C20">
      <formula1>$S$7:$S$9</formula1>
    </dataValidation>
    <dataValidation type="list" allowBlank="1" showInputMessage="1" showErrorMessage="1" sqref="C21">
      <formula1>$T$7:$T$9</formula1>
    </dataValidation>
    <dataValidation type="list" allowBlank="1" showInputMessage="1" showErrorMessage="1" sqref="C22">
      <formula1>$U$7:$U$9</formula1>
    </dataValidation>
    <dataValidation type="list" allowBlank="1" showInputMessage="1" showErrorMessage="1" sqref="C23">
      <formula1>$V$7:$V$9</formula1>
    </dataValidation>
    <dataValidation type="list" allowBlank="1" showInputMessage="1" showErrorMessage="1" sqref="C25">
      <formula1>$W$7:$W$9</formula1>
    </dataValidation>
    <dataValidation type="list" allowBlank="1" showInputMessage="1" showErrorMessage="1" sqref="C26">
      <formula1>$X$7:$X$9</formula1>
    </dataValidation>
    <dataValidation type="list" allowBlank="1" showInputMessage="1" showErrorMessage="1" sqref="C27">
      <formula1>$Y$7:$Y$9</formula1>
    </dataValidation>
    <dataValidation type="list" allowBlank="1" showInputMessage="1" showErrorMessage="1" sqref="C28">
      <formula1>$Z$7:$Z$9</formula1>
    </dataValidation>
    <dataValidation type="list" allowBlank="1" showInputMessage="1" showErrorMessage="1" sqref="C29">
      <formula1>$AA$7:$AA$9</formula1>
    </dataValidation>
    <dataValidation type="list" allowBlank="1" showInputMessage="1" showErrorMessage="1" sqref="C30">
      <formula1>$AB$7:$AB$9</formula1>
    </dataValidation>
    <dataValidation type="list" allowBlank="1" showInputMessage="1" showErrorMessage="1" sqref="C31">
      <formula1>$AC$7:$AC$9</formula1>
    </dataValidation>
    <dataValidation type="list" allowBlank="1" showInputMessage="1" showErrorMessage="1" sqref="C32">
      <formula1>$AD$7:$AD$9</formula1>
    </dataValidation>
    <dataValidation type="list" allowBlank="1" showInputMessage="1" showErrorMessage="1" sqref="C38">
      <formula1>$AE$7:$AE$9</formula1>
    </dataValidation>
    <dataValidation type="list" allowBlank="1" showInputMessage="1" showErrorMessage="1" sqref="C39">
      <formula1>$AF$7:$AF$9</formula1>
    </dataValidation>
    <dataValidation type="list" allowBlank="1" showInputMessage="1" showErrorMessage="1" sqref="C40">
      <formula1>$AG$7:$AG$9</formula1>
    </dataValidation>
    <dataValidation type="list" allowBlank="1" showInputMessage="1" showErrorMessage="1" sqref="C41">
      <formula1>$AH$7:$AH$9</formula1>
    </dataValidation>
    <dataValidation type="list" allowBlank="1" showInputMessage="1" showErrorMessage="1" sqref="C42">
      <formula1>$AI$7:$AI$10</formula1>
    </dataValidation>
    <dataValidation type="list" allowBlank="1" showInputMessage="1" showErrorMessage="1" sqref="C43">
      <formula1>$AJ$7:$AJ$9</formula1>
    </dataValidation>
  </dataValidations>
  <pageMargins left="0.826771653543307" right="0.708661417322835" top="0.708661417322835" bottom="0.866141732283464" header="0.31496062992126" footer="0.511811023622047"/>
  <pageSetup paperSize="9" orientation="portrait" verticalDpi="300"/>
  <headerFooter alignWithMargins="0">
    <oddHeader>&amp;C&amp;"Arial,Vet"&amp;8Risk analysis</oddHeader>
    <oddFooter>&amp;L&amp;8Book: Project management&amp;C&amp;8by Roel Grit&amp;R&amp;8Excelmodel by Jurgen Winkel</oddFooter>
  </headerFooter>
  <rowBreaks count="1" manualBreakCount="1">
    <brk id="33" max="16383" man="1"/>
  </rowBreaks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Manager>Nvt</Manager>
  <Company>DELPHIconcept</Company>
  <HyperlinkBase>Nvt</HyperlinkBase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Info</vt:lpstr>
      <vt:lpstr>Risk analysis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Digitale risicoanalyse</dc:title>
  <dc:subject>Project management</dc:subject>
  <dc:creator>Jurgen Winkel</dc:creator>
  <cp:keywords>Nvt</cp:keywords>
  <dc:description>Nvt</dc:description>
  <cp:lastModifiedBy>vladiserafimov</cp:lastModifiedBy>
  <dcterms:created xsi:type="dcterms:W3CDTF">2002-04-08T05:28:00Z</dcterms:created>
  <dcterms:modified xsi:type="dcterms:W3CDTF">2025-09-15T11:50:42Z</dcterms:modified>
  <cp:category>Nvt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85871DF27A0747B6831884C0187AE637_12</vt:lpwstr>
  </property>
  <property fmtid="{D5CDD505-2E9C-101B-9397-08002B2CF9AE}" pid="3" name="KSOProductBuildVer">
    <vt:lpwstr>1033-12.2.0.22549</vt:lpwstr>
  </property>
</Properties>
</file>